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Trabaj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G26" authorId="0">
      <text>
        <r>
          <rPr>
            <sz val="10"/>
            <rFont val="Arial"/>
            <family val="2"/>
          </rPr>
          <t xml:space="preserve">Completo y verificado en los 4 motores (sección 6.1).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35</xdr:colOff>
                <xdr:row>0</xdr:row>
                <xdr:rowOff>2</xdr:rowOff>
              </xdr:from>
              <xdr:to>
                <xdr:col>2</xdr:col>
                <xdr:colOff>-280</xdr:colOff>
                <xdr:row>3</xdr:row>
                <xdr:rowOff>20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Completo y verificado (sección 6.2.1).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35</xdr:colOff>
                <xdr:row>0</xdr:row>
                <xdr:rowOff>2</xdr:rowOff>
              </xdr:from>
              <xdr:to>
                <xdr:col>2</xdr:col>
                <xdr:colOff>-280</xdr:colOff>
                <xdr:row>3</xdr:row>
                <xdr:rowOff>20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Completo y verificado; 8 tablas y 8 FK en los 4 motores (sección 6.2.2).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35</xdr:colOff>
                <xdr:row>0</xdr:row>
                <xdr:rowOff>2</xdr:rowOff>
              </xdr:from>
              <xdr:to>
                <xdr:col>2</xdr:col>
                <xdr:colOff>-280</xdr:colOff>
                <xdr:row>3</xdr:row>
                <xdr:rowOff>20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Poda con sinónimos ES-EN implementada; prompt estructurado por dialecto.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35</xdr:colOff>
                <xdr:row>0</xdr:row>
                <xdr:rowOff>2</xdr:rowOff>
              </xdr:from>
              <xdr:to>
                <xdr:col>2</xdr:col>
                <xdr:colOff>-280</xdr:colOff>
                <xdr:row>3</xdr:row>
                <xdr:rowOff>20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Probado en vivo: pregunta en español, SQL de Gemini, validación y ejecución en PostgreSQL.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35</xdr:colOff>
                <xdr:row>0</xdr:row>
                <xdr:rowOff>2</xdr:rowOff>
              </xdr:from>
              <xdr:to>
                <xdr:col>2</xdr:col>
                <xdr:colOff>-280</xdr:colOff>
                <xdr:row>4</xdr:row>
                <xdr:rowOff>3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Batería 17/17 y bypass de SQL Server corregido.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35</xdr:colOff>
                <xdr:row>0</xdr:row>
                <xdr:rowOff>2</xdr:rowOff>
              </xdr:from>
              <xdr:to>
                <xdr:col>2</xdr:col>
                <xdr:colOff>-280</xdr:colOff>
                <xdr:row>3</xdr:row>
                <xdr:rowOff>20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Sin cambio en %real. La corrida 200/200 fue con SQL de referencia y 5 referencias se corrigieron el 02/10. Falta: runner nuevo, banco de volumen alto, paráfrasis, piloto y corrida con Gemini (antes del 16/10 por retiro del modelo).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35</xdr:colOff>
                <xdr:row>0</xdr:row>
                <xdr:rowOff>2</xdr:rowOff>
              </xdr:from>
              <xdr:to>
                <xdr:col>2</xdr:col>
                <xdr:colOff>-104</xdr:colOff>
                <xdr:row>5</xdr:row>
                <xdr:rowOff>11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Tarea nueva (sección 6.3.5): tope de tiempo en los 4 motores, lectura por streaming, snapshot con paginación y CSV completo. Verificado en los 4 motores.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35</xdr:colOff>
                <xdr:row>0</xdr:row>
                <xdr:rowOff>2</xdr:rowOff>
              </xdr:from>
              <xdr:to>
                <xdr:col>2</xdr:col>
                <xdr:colOff>-104</xdr:colOff>
                <xdr:row>5</xdr:row>
                <xdr:rowOff>11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v1: login, registro, flujo motor-pregunta-SQL-ejecutar, paginación y descarga CSV verificadas en navegador. Falta: probar "Generar SQL" con Gemini desde la interfaz y distinguir perfiles técnico/no técnico.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35</xdr:colOff>
                <xdr:row>0</xdr:row>
                <xdr:rowOff>2</xdr:rowOff>
              </xdr:from>
              <xdr:to>
                <xdr:col>2</xdr:col>
                <xdr:colOff>-104</xdr:colOff>
                <xdr:row>5</xdr:row>
                <xdr:rowOff>11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<sst xmlns="http://schemas.openxmlformats.org/spreadsheetml/2006/main" count="53" uniqueCount="53">
  <si>
    <t xml:space="preserve">Plan de Trabajo — NL-Query-Platform</t>
  </si>
  <si>
    <t xml:space="preserve">Corte de avance: 02-10-2026 (%plan calculado por fechas a esa fecha)</t>
  </si>
  <si>
    <t xml:space="preserve">No.</t>
  </si>
  <si>
    <t xml:space="preserve">Descripción Tarea</t>
  </si>
  <si>
    <t xml:space="preserve">Duración</t>
  </si>
  <si>
    <t xml:space="preserve">Fecha Inicio</t>
  </si>
  <si>
    <t xml:space="preserve">Fecha Fin</t>
  </si>
  <si>
    <t xml:space="preserve">%plan</t>
  </si>
  <si>
    <t xml:space="preserve">%real</t>
  </si>
  <si>
    <t xml:space="preserve">%diff</t>
  </si>
  <si>
    <t xml:space="preserve">PesoR</t>
  </si>
  <si>
    <t xml:space="preserve">PesoP</t>
  </si>
  <si>
    <t xml:space="preserve">No. Padre</t>
  </si>
  <si>
    <t xml:space="preserve">Proyecto NL-Query-Platform</t>
  </si>
  <si>
    <t xml:space="preserve">    Capítulo 3 - Análisis y Diseño</t>
  </si>
  <si>
    <t xml:space="preserve">        Análisis de la situación propuesta</t>
  </si>
  <si>
    <t xml:space="preserve">            Levantamiento de requerimientos y factibilidad</t>
  </si>
  <si>
    <t xml:space="preserve">            Definición de metodología y marco de investigación</t>
  </si>
  <si>
    <t xml:space="preserve">            Definición de arquitectura y stack tecnológico</t>
  </si>
  <si>
    <t xml:space="preserve">        Investigación y fundamentación teórica del sistema</t>
  </si>
  <si>
    <t xml:space="preserve">        Diseño metodológico, métricas e instrumentos de evaluación</t>
  </si>
  <si>
    <t xml:space="preserve">    Capítulo 4 - Análisis de la aplicación</t>
  </si>
  <si>
    <t xml:space="preserve">        Descripción del proyecto y alcance funcional</t>
  </si>
  <si>
    <t xml:space="preserve">        Identificación de usuarios y actores del sistema</t>
  </si>
  <si>
    <t xml:space="preserve">        Modelado del negocio bajo RUP</t>
  </si>
  <si>
    <t xml:space="preserve">        Especificación de requerimientos funcionales y no funcionales</t>
  </si>
  <si>
    <t xml:space="preserve">        Revisión con asesor e integración del capítulo</t>
  </si>
  <si>
    <t xml:space="preserve">    Capítulo 5 - Diseño de la aplicación</t>
  </si>
  <si>
    <t xml:space="preserve">        Diagramas UML de comportamiento (casos de uso, actividades, secuencias)</t>
  </si>
  <si>
    <t xml:space="preserve">        Diagramas UML de estructura (componentes, objetos, clases)</t>
  </si>
  <si>
    <t xml:space="preserve">        Modelo lógico de datos del almacenamiento interno</t>
  </si>
  <si>
    <t xml:space="preserve">        Diagramas de infraestructura sobre GCP</t>
  </si>
  <si>
    <t xml:space="preserve">        Redacción e integración del texto del capítulo</t>
  </si>
  <si>
    <t xml:space="preserve">        Correcciones de figuras, rótulos y numeración del capítulo</t>
  </si>
  <si>
    <t xml:space="preserve">    Capítulo 6 - Desarrollo de la aplicación</t>
  </si>
  <si>
    <t xml:space="preserve">        Módulo 1: Gestión segura de conexiones</t>
  </si>
  <si>
    <t xml:space="preserve">        Módulo 2: Extracción e interpretación de esquema</t>
  </si>
  <si>
    <t xml:space="preserve">            Inspección de esquema: PostgreSQL y MySQL</t>
  </si>
  <si>
    <t xml:space="preserve">            Inspección de esquema: MariaDB y SQL Server; normalización</t>
  </si>
  <si>
    <t xml:space="preserve">        Módulo 3: Generación NL2SQL y Query Safety Engine</t>
  </si>
  <si>
    <t xml:space="preserve">            Diseño de prompt y estrategia de schema pruning</t>
  </si>
  <si>
    <t xml:space="preserve">            Integración con Vertex AI Gemini Pro</t>
  </si>
  <si>
    <t xml:space="preserve">            Implementación del Query Safety Engine</t>
  </si>
  <si>
    <t xml:space="preserve">            Pruebas de generación SQL en los cuatro motores</t>
  </si>
  <si>
    <t xml:space="preserve">            Control de tiempo de ejecución e integridad de resultados</t>
  </si>
  <si>
    <t xml:space="preserve">        Frontend Next.js y autenticación de interfaz</t>
  </si>
  <si>
    <t xml:space="preserve">        Módulo 4: Herramientas de apoyo para usuarios técnicos</t>
  </si>
  <si>
    <t xml:space="preserve">        Módulo 5: Historial y gestión de consultas guardadas</t>
  </si>
  <si>
    <t xml:space="preserve">        Integración de módulos y pruebas del sistema</t>
  </si>
  <si>
    <t xml:space="preserve">        Presentación del prototipo funcional</t>
  </si>
  <si>
    <t xml:space="preserve">    Cierre y entrega</t>
  </si>
  <si>
    <t xml:space="preserve">        Conclusiones y revisión final del documento</t>
  </si>
  <si>
    <t xml:space="preserve">        Entrega PG2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</si>
</sst>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%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62"/>
    <col collapsed="false" customWidth="true" hidden="false" outlineLevel="0" max="3" min="3" style="1" width="10"/>
    <col collapsed="false" customWidth="true" hidden="false" outlineLevel="0" max="5" min="4" style="1" width="13"/>
    <col collapsed="false" customWidth="true" hidden="false" outlineLevel="0" max="8" min="6" style="1" width="9"/>
    <col collapsed="false" customWidth="true" hidden="false" outlineLevel="0" max="10" min="9" style="1" width="8"/>
    <col collapsed="false" customWidth="true" hidden="false" outlineLevel="0" max="11" min="11" style="1" width="1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B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customFormat="false" ht="15" hidden="false" customHeight="true" outlineLevel="0" collapsed="false">
      <c r="A4" s="5" t="n">
        <v>1</v>
      </c>
      <c r="B4" s="6" t="s">
        <v>13</v>
      </c>
      <c r="C4" s="5" t="n">
        <f aca="false">SUM(C5,C12,C18,C25,C41)</f>
        <v>143</v>
      </c>
      <c r="D4" s="7" t="n">
        <v>46174</v>
      </c>
      <c r="E4" s="7" t="n">
        <v>46312</v>
      </c>
      <c r="F4" s="8" t="n">
        <f aca="false">(C5*F5+C12*F12+C18*F18+C25*F25+C41*F41)/C4</f>
        <v>0.923076923076923</v>
      </c>
      <c r="G4" s="8" t="n">
        <f aca="false">(C5*G5+C12*G12+C18*G18+C25*G25+C41*G41)/C4</f>
        <v>0.88951048951049</v>
      </c>
      <c r="H4" s="8" t="n">
        <f aca="false">G4-F4</f>
        <v>-0.0335664335664336</v>
      </c>
      <c r="I4" s="9" t="n">
        <f aca="false">C4/$C$4</f>
        <v>1</v>
      </c>
      <c r="J4" s="9" t="n">
        <f aca="false">I4*G4</f>
        <v>0.88951048951049</v>
      </c>
      <c r="K4" s="5"/>
    </row>
    <row r="5" customFormat="false" ht="15" hidden="false" customHeight="true" outlineLevel="0" collapsed="false">
      <c r="A5" s="5" t="n">
        <v>2</v>
      </c>
      <c r="B5" s="6" t="s">
        <v>14</v>
      </c>
      <c r="C5" s="5" t="n">
        <f aca="false">SUM(C6,C10,C11)</f>
        <v>67</v>
      </c>
      <c r="D5" s="7" t="n">
        <v>46174</v>
      </c>
      <c r="E5" s="7" t="n">
        <v>46248</v>
      </c>
      <c r="F5" s="8" t="n">
        <f aca="false">(C6*F6+C10*F10+C11*F11)/C5</f>
        <v>1</v>
      </c>
      <c r="G5" s="8" t="n">
        <f aca="false">(C6*G6+C10*G10+C11*G11)/C5</f>
        <v>1</v>
      </c>
      <c r="H5" s="8" t="n">
        <f aca="false">G5-F5</f>
        <v>0</v>
      </c>
      <c r="I5" s="9" t="n">
        <f aca="false">C5/$C$4</f>
        <v>0.468531468531469</v>
      </c>
      <c r="J5" s="9" t="n">
        <f aca="false">I5*G5</f>
        <v>0.468531468531469</v>
      </c>
      <c r="K5" s="5" t="n">
        <v>1</v>
      </c>
    </row>
    <row r="6" customFormat="false" ht="15" hidden="false" customHeight="true" outlineLevel="0" collapsed="false">
      <c r="A6" s="5" t="n">
        <v>3</v>
      </c>
      <c r="B6" s="6" t="s">
        <v>15</v>
      </c>
      <c r="C6" s="5" t="n">
        <f aca="false">SUM(C7,C8,C9)</f>
        <v>22</v>
      </c>
      <c r="D6" s="7" t="n">
        <v>46174</v>
      </c>
      <c r="E6" s="7" t="n">
        <v>46199</v>
      </c>
      <c r="F6" s="8" t="n">
        <f aca="false">(C7*F7+C8*F8+C9*F9)/C6</f>
        <v>1</v>
      </c>
      <c r="G6" s="8" t="n">
        <f aca="false">(C7*G7+C8*G8+C9*G9)/C6</f>
        <v>1</v>
      </c>
      <c r="H6" s="8" t="n">
        <f aca="false">G6-F6</f>
        <v>0</v>
      </c>
      <c r="I6" s="9" t="n">
        <f aca="false">C6/$C$4</f>
        <v>0.153846153846154</v>
      </c>
      <c r="J6" s="9" t="n">
        <f aca="false">I6*G6</f>
        <v>0.153846153846154</v>
      </c>
      <c r="K6" s="5" t="n">
        <v>2</v>
      </c>
    </row>
    <row r="7" customFormat="false" ht="15" hidden="false" customHeight="true" outlineLevel="0" collapsed="false">
      <c r="A7" s="10" t="n">
        <v>4</v>
      </c>
      <c r="B7" s="11" t="s">
        <v>16</v>
      </c>
      <c r="C7" s="10" t="n">
        <f aca="false">E7-D7+1</f>
        <v>12</v>
      </c>
      <c r="D7" s="12" t="n">
        <v>46174</v>
      </c>
      <c r="E7" s="12" t="n">
        <v>46185</v>
      </c>
      <c r="F7" s="13" t="n">
        <v>1</v>
      </c>
      <c r="G7" s="13" t="n">
        <v>1</v>
      </c>
      <c r="H7" s="14" t="n">
        <f aca="false">G7-F7</f>
        <v>0</v>
      </c>
      <c r="I7" s="15" t="n">
        <f aca="false">C7/$C$4</f>
        <v>0.0839160839160839</v>
      </c>
      <c r="J7" s="15" t="n">
        <f aca="false">I7*G7</f>
        <v>0.0839160839160839</v>
      </c>
      <c r="K7" s="10" t="n">
        <v>3</v>
      </c>
    </row>
    <row r="8" customFormat="false" ht="15" hidden="false" customHeight="true" outlineLevel="0" collapsed="false">
      <c r="A8" s="10" t="n">
        <v>5</v>
      </c>
      <c r="B8" s="11" t="s">
        <v>17</v>
      </c>
      <c r="C8" s="10" t="n">
        <f aca="false">E8-D8+1</f>
        <v>5</v>
      </c>
      <c r="D8" s="12" t="n">
        <v>46188</v>
      </c>
      <c r="E8" s="12" t="n">
        <v>46192</v>
      </c>
      <c r="F8" s="13" t="n">
        <v>1</v>
      </c>
      <c r="G8" s="13" t="n">
        <v>1</v>
      </c>
      <c r="H8" s="14" t="n">
        <f aca="false">G8-F8</f>
        <v>0</v>
      </c>
      <c r="I8" s="15" t="n">
        <f aca="false">C8/$C$4</f>
        <v>0.034965034965035</v>
      </c>
      <c r="J8" s="15" t="n">
        <f aca="false">I8*G8</f>
        <v>0.034965034965035</v>
      </c>
      <c r="K8" s="10" t="n">
        <v>3</v>
      </c>
    </row>
    <row r="9" customFormat="false" ht="15" hidden="false" customHeight="true" outlineLevel="0" collapsed="false">
      <c r="A9" s="10" t="n">
        <v>6</v>
      </c>
      <c r="B9" s="11" t="s">
        <v>18</v>
      </c>
      <c r="C9" s="10" t="n">
        <f aca="false">E9-D9+1</f>
        <v>5</v>
      </c>
      <c r="D9" s="12" t="n">
        <v>46195</v>
      </c>
      <c r="E9" s="12" t="n">
        <v>46199</v>
      </c>
      <c r="F9" s="13" t="n">
        <v>1</v>
      </c>
      <c r="G9" s="13" t="n">
        <v>1</v>
      </c>
      <c r="H9" s="14" t="n">
        <f aca="false">G9-F9</f>
        <v>0</v>
      </c>
      <c r="I9" s="15" t="n">
        <f aca="false">C9/$C$4</f>
        <v>0.034965034965035</v>
      </c>
      <c r="J9" s="15" t="n">
        <f aca="false">I9*G9</f>
        <v>0.034965034965035</v>
      </c>
      <c r="K9" s="10" t="n">
        <v>3</v>
      </c>
    </row>
    <row r="10" customFormat="false" ht="15" hidden="false" customHeight="true" outlineLevel="0" collapsed="false">
      <c r="A10" s="10" t="n">
        <v>7</v>
      </c>
      <c r="B10" s="11" t="s">
        <v>19</v>
      </c>
      <c r="C10" s="10" t="n">
        <f aca="false">E10-D10+1</f>
        <v>26</v>
      </c>
      <c r="D10" s="12" t="n">
        <v>46202</v>
      </c>
      <c r="E10" s="12" t="n">
        <v>46227</v>
      </c>
      <c r="F10" s="13" t="n">
        <v>1</v>
      </c>
      <c r="G10" s="13" t="n">
        <v>1</v>
      </c>
      <c r="H10" s="14" t="n">
        <f aca="false">G10-F10</f>
        <v>0</v>
      </c>
      <c r="I10" s="15" t="n">
        <f aca="false">C10/$C$4</f>
        <v>0.181818181818182</v>
      </c>
      <c r="J10" s="15" t="n">
        <f aca="false">I10*G10</f>
        <v>0.181818181818182</v>
      </c>
      <c r="K10" s="10" t="n">
        <v>2</v>
      </c>
    </row>
    <row r="11" customFormat="false" ht="15" hidden="false" customHeight="true" outlineLevel="0" collapsed="false">
      <c r="A11" s="10" t="n">
        <v>8</v>
      </c>
      <c r="B11" s="11" t="s">
        <v>20</v>
      </c>
      <c r="C11" s="10" t="n">
        <f aca="false">E11-D11+1</f>
        <v>19</v>
      </c>
      <c r="D11" s="12" t="n">
        <v>46230</v>
      </c>
      <c r="E11" s="12" t="n">
        <v>46248</v>
      </c>
      <c r="F11" s="13" t="n">
        <v>1</v>
      </c>
      <c r="G11" s="13" t="n">
        <v>1</v>
      </c>
      <c r="H11" s="14" t="n">
        <f aca="false">G11-F11</f>
        <v>0</v>
      </c>
      <c r="I11" s="15" t="n">
        <f aca="false">C11/$C$4</f>
        <v>0.132867132867133</v>
      </c>
      <c r="J11" s="15" t="n">
        <f aca="false">I11*G11</f>
        <v>0.132867132867133</v>
      </c>
      <c r="K11" s="10" t="n">
        <v>2</v>
      </c>
    </row>
    <row r="12" customFormat="false" ht="15" hidden="false" customHeight="true" outlineLevel="0" collapsed="false">
      <c r="A12" s="5" t="n">
        <v>9</v>
      </c>
      <c r="B12" s="6" t="s">
        <v>21</v>
      </c>
      <c r="C12" s="5" t="n">
        <f aca="false">SUM(C13,C14,C15,C16,C17)</f>
        <v>15</v>
      </c>
      <c r="D12" s="7" t="n">
        <v>46251</v>
      </c>
      <c r="E12" s="7" t="n">
        <v>46269</v>
      </c>
      <c r="F12" s="8" t="n">
        <f aca="false">(C13*F13+C14*F14+C15*F15+C16*F16+C17*F17)/C12</f>
        <v>1</v>
      </c>
      <c r="G12" s="8" t="n">
        <f aca="false">(C13*G13+C14*G14+C15*G15+C16*G16+C17*G17)/C12</f>
        <v>1</v>
      </c>
      <c r="H12" s="8" t="n">
        <f aca="false">G12-F12</f>
        <v>0</v>
      </c>
      <c r="I12" s="9" t="n">
        <f aca="false">C12/$C$4</f>
        <v>0.104895104895105</v>
      </c>
      <c r="J12" s="9" t="n">
        <f aca="false">I12*G12</f>
        <v>0.104895104895105</v>
      </c>
      <c r="K12" s="5" t="n">
        <v>1</v>
      </c>
    </row>
    <row r="13" customFormat="false" ht="15" hidden="false" customHeight="true" outlineLevel="0" collapsed="false">
      <c r="A13" s="10" t="n">
        <v>10</v>
      </c>
      <c r="B13" s="11" t="s">
        <v>22</v>
      </c>
      <c r="C13" s="10" t="n">
        <f aca="false">E13-D13+1</f>
        <v>3</v>
      </c>
      <c r="D13" s="12" t="n">
        <v>46251</v>
      </c>
      <c r="E13" s="12" t="n">
        <v>46253</v>
      </c>
      <c r="F13" s="13" t="n">
        <v>1</v>
      </c>
      <c r="G13" s="13" t="n">
        <v>1</v>
      </c>
      <c r="H13" s="14" t="n">
        <f aca="false">G13-F13</f>
        <v>0</v>
      </c>
      <c r="I13" s="15" t="n">
        <f aca="false">C13/$C$4</f>
        <v>0.020979020979021</v>
      </c>
      <c r="J13" s="15" t="n">
        <f aca="false">I13*G13</f>
        <v>0.020979020979021</v>
      </c>
      <c r="K13" s="10" t="n">
        <v>9</v>
      </c>
    </row>
    <row r="14" customFormat="false" ht="15" hidden="false" customHeight="true" outlineLevel="0" collapsed="false">
      <c r="A14" s="10" t="n">
        <v>11</v>
      </c>
      <c r="B14" s="11" t="s">
        <v>23</v>
      </c>
      <c r="C14" s="10" t="n">
        <f aca="false">E14-D14+1</f>
        <v>2</v>
      </c>
      <c r="D14" s="12" t="n">
        <v>46254</v>
      </c>
      <c r="E14" s="12" t="n">
        <v>46255</v>
      </c>
      <c r="F14" s="13" t="n">
        <v>1</v>
      </c>
      <c r="G14" s="13" t="n">
        <v>1</v>
      </c>
      <c r="H14" s="14" t="n">
        <f aca="false">G14-F14</f>
        <v>0</v>
      </c>
      <c r="I14" s="15" t="n">
        <f aca="false">C14/$C$4</f>
        <v>0.013986013986014</v>
      </c>
      <c r="J14" s="15" t="n">
        <f aca="false">I14*G14</f>
        <v>0.013986013986014</v>
      </c>
      <c r="K14" s="10" t="n">
        <v>9</v>
      </c>
    </row>
    <row r="15" customFormat="false" ht="15" hidden="false" customHeight="true" outlineLevel="0" collapsed="false">
      <c r="A15" s="10" t="n">
        <v>12</v>
      </c>
      <c r="B15" s="11" t="s">
        <v>24</v>
      </c>
      <c r="C15" s="10" t="n">
        <f aca="false">E15-D15+1</f>
        <v>3</v>
      </c>
      <c r="D15" s="12" t="n">
        <v>46258</v>
      </c>
      <c r="E15" s="12" t="n">
        <v>46260</v>
      </c>
      <c r="F15" s="13" t="n">
        <v>1</v>
      </c>
      <c r="G15" s="13" t="n">
        <v>1</v>
      </c>
      <c r="H15" s="14" t="n">
        <f aca="false">G15-F15</f>
        <v>0</v>
      </c>
      <c r="I15" s="15" t="n">
        <f aca="false">C15/$C$4</f>
        <v>0.020979020979021</v>
      </c>
      <c r="J15" s="15" t="n">
        <f aca="false">I15*G15</f>
        <v>0.020979020979021</v>
      </c>
      <c r="K15" s="10" t="n">
        <v>9</v>
      </c>
    </row>
    <row r="16" customFormat="false" ht="15" hidden="false" customHeight="true" outlineLevel="0" collapsed="false">
      <c r="A16" s="10" t="n">
        <v>13</v>
      </c>
      <c r="B16" s="11" t="s">
        <v>25</v>
      </c>
      <c r="C16" s="10" t="n">
        <f aca="false">E16-D16+1</f>
        <v>2</v>
      </c>
      <c r="D16" s="12" t="n">
        <v>46261</v>
      </c>
      <c r="E16" s="12" t="n">
        <v>46262</v>
      </c>
      <c r="F16" s="13" t="n">
        <v>1</v>
      </c>
      <c r="G16" s="13" t="n">
        <v>1</v>
      </c>
      <c r="H16" s="14" t="n">
        <f aca="false">G16-F16</f>
        <v>0</v>
      </c>
      <c r="I16" s="15" t="n">
        <f aca="false">C16/$C$4</f>
        <v>0.013986013986014</v>
      </c>
      <c r="J16" s="15" t="n">
        <f aca="false">I16*G16</f>
        <v>0.013986013986014</v>
      </c>
      <c r="K16" s="10" t="n">
        <v>9</v>
      </c>
    </row>
    <row r="17" customFormat="false" ht="15" hidden="false" customHeight="true" outlineLevel="0" collapsed="false">
      <c r="A17" s="10" t="n">
        <v>14</v>
      </c>
      <c r="B17" s="11" t="s">
        <v>26</v>
      </c>
      <c r="C17" s="10" t="n">
        <f aca="false">E17-D17+1</f>
        <v>5</v>
      </c>
      <c r="D17" s="12" t="n">
        <v>46265</v>
      </c>
      <c r="E17" s="12" t="n">
        <v>46269</v>
      </c>
      <c r="F17" s="13" t="n">
        <v>1</v>
      </c>
      <c r="G17" s="13" t="n">
        <v>1</v>
      </c>
      <c r="H17" s="14" t="n">
        <f aca="false">G17-F17</f>
        <v>0</v>
      </c>
      <c r="I17" s="15" t="n">
        <f aca="false">C17/$C$4</f>
        <v>0.034965034965035</v>
      </c>
      <c r="J17" s="15" t="n">
        <f aca="false">I17*G17</f>
        <v>0.034965034965035</v>
      </c>
      <c r="K17" s="10" t="n">
        <v>9</v>
      </c>
    </row>
    <row r="18" customFormat="false" ht="15" hidden="false" customHeight="true" outlineLevel="0" collapsed="false">
      <c r="A18" s="5" t="n">
        <v>15</v>
      </c>
      <c r="B18" s="6" t="s">
        <v>27</v>
      </c>
      <c r="C18" s="5" t="n">
        <f aca="false">SUM(C19,C20,C21,C22,C23,C24)</f>
        <v>9</v>
      </c>
      <c r="D18" s="7" t="n">
        <v>46265</v>
      </c>
      <c r="E18" s="7" t="n">
        <v>46273</v>
      </c>
      <c r="F18" s="8" t="n">
        <f aca="false">(C19*F19+C20*F20+C21*F21+C22*F22+C23*F23+C24*F24)/C18</f>
        <v>1</v>
      </c>
      <c r="G18" s="8" t="n">
        <f aca="false">(C19*G19+C20*G20+C21*G21+C22*G22+C23*G23+C24*G24)/C18</f>
        <v>0.777777777777778</v>
      </c>
      <c r="H18" s="8" t="n">
        <f aca="false">G18-F18</f>
        <v>-0.222222222222222</v>
      </c>
      <c r="I18" s="9" t="n">
        <f aca="false">C18/$C$4</f>
        <v>0.0629370629370629</v>
      </c>
      <c r="J18" s="9" t="n">
        <f aca="false">I18*G18</f>
        <v>0.048951048951049</v>
      </c>
      <c r="K18" s="5" t="n">
        <v>1</v>
      </c>
    </row>
    <row r="19" customFormat="false" ht="15" hidden="false" customHeight="true" outlineLevel="0" collapsed="false">
      <c r="A19" s="10" t="n">
        <v>16</v>
      </c>
      <c r="B19" s="11" t="s">
        <v>28</v>
      </c>
      <c r="C19" s="10" t="n">
        <f aca="false">E19-D19+1</f>
        <v>2</v>
      </c>
      <c r="D19" s="12" t="n">
        <v>46265</v>
      </c>
      <c r="E19" s="12" t="n">
        <v>46266</v>
      </c>
      <c r="F19" s="13" t="n">
        <v>1</v>
      </c>
      <c r="G19" s="13" t="n">
        <v>1</v>
      </c>
      <c r="H19" s="14" t="n">
        <f aca="false">G19-F19</f>
        <v>0</v>
      </c>
      <c r="I19" s="15" t="n">
        <f aca="false">C19/$C$4</f>
        <v>0.013986013986014</v>
      </c>
      <c r="J19" s="15" t="n">
        <f aca="false">I19*G19</f>
        <v>0.013986013986014</v>
      </c>
      <c r="K19" s="10" t="n">
        <v>15</v>
      </c>
    </row>
    <row r="20" customFormat="false" ht="15" hidden="false" customHeight="true" outlineLevel="0" collapsed="false">
      <c r="A20" s="10" t="n">
        <v>17</v>
      </c>
      <c r="B20" s="11" t="s">
        <v>29</v>
      </c>
      <c r="C20" s="10" t="n">
        <f aca="false">E20-D20+1</f>
        <v>2</v>
      </c>
      <c r="D20" s="12" t="n">
        <v>46267</v>
      </c>
      <c r="E20" s="12" t="n">
        <v>46268</v>
      </c>
      <c r="F20" s="13" t="n">
        <v>1</v>
      </c>
      <c r="G20" s="13" t="n">
        <v>1</v>
      </c>
      <c r="H20" s="14" t="n">
        <f aca="false">G20-F20</f>
        <v>0</v>
      </c>
      <c r="I20" s="15" t="n">
        <f aca="false">C20/$C$4</f>
        <v>0.013986013986014</v>
      </c>
      <c r="J20" s="15" t="n">
        <f aca="false">I20*G20</f>
        <v>0.013986013986014</v>
      </c>
      <c r="K20" s="10" t="n">
        <v>15</v>
      </c>
    </row>
    <row r="21" customFormat="false" ht="15" hidden="false" customHeight="true" outlineLevel="0" collapsed="false">
      <c r="A21" s="10" t="n">
        <v>18</v>
      </c>
      <c r="B21" s="11" t="s">
        <v>30</v>
      </c>
      <c r="C21" s="10" t="n">
        <f aca="false">E21-D21+1</f>
        <v>1</v>
      </c>
      <c r="D21" s="12" t="n">
        <v>46268</v>
      </c>
      <c r="E21" s="12" t="n">
        <v>46268</v>
      </c>
      <c r="F21" s="13" t="n">
        <v>1</v>
      </c>
      <c r="G21" s="13" t="n">
        <v>1</v>
      </c>
      <c r="H21" s="14" t="n">
        <f aca="false">G21-F21</f>
        <v>0</v>
      </c>
      <c r="I21" s="15" t="n">
        <f aca="false">C21/$C$4</f>
        <v>0.00699300699300699</v>
      </c>
      <c r="J21" s="15" t="n">
        <f aca="false">I21*G21</f>
        <v>0.00699300699300699</v>
      </c>
      <c r="K21" s="10" t="n">
        <v>15</v>
      </c>
    </row>
    <row r="22" customFormat="false" ht="15" hidden="false" customHeight="true" outlineLevel="0" collapsed="false">
      <c r="A22" s="10" t="n">
        <v>19</v>
      </c>
      <c r="B22" s="11" t="s">
        <v>31</v>
      </c>
      <c r="C22" s="10" t="n">
        <f aca="false">E22-D22+1</f>
        <v>1</v>
      </c>
      <c r="D22" s="12" t="n">
        <v>46269</v>
      </c>
      <c r="E22" s="12" t="n">
        <v>46269</v>
      </c>
      <c r="F22" s="13" t="n">
        <v>1</v>
      </c>
      <c r="G22" s="13" t="n">
        <v>1</v>
      </c>
      <c r="H22" s="14" t="n">
        <f aca="false">G22-F22</f>
        <v>0</v>
      </c>
      <c r="I22" s="15" t="n">
        <f aca="false">C22/$C$4</f>
        <v>0.00699300699300699</v>
      </c>
      <c r="J22" s="15" t="n">
        <f aca="false">I22*G22</f>
        <v>0.00699300699300699</v>
      </c>
      <c r="K22" s="10" t="n">
        <v>15</v>
      </c>
    </row>
    <row r="23" customFormat="false" ht="15" hidden="false" customHeight="true" outlineLevel="0" collapsed="false">
      <c r="A23" s="10" t="n">
        <v>20</v>
      </c>
      <c r="B23" s="11" t="s">
        <v>32</v>
      </c>
      <c r="C23" s="10" t="n">
        <f aca="false">E23-D23+1</f>
        <v>1</v>
      </c>
      <c r="D23" s="12" t="n">
        <v>46269</v>
      </c>
      <c r="E23" s="12" t="n">
        <v>46269</v>
      </c>
      <c r="F23" s="13" t="n">
        <v>1</v>
      </c>
      <c r="G23" s="13" t="n">
        <v>1</v>
      </c>
      <c r="H23" s="14" t="n">
        <f aca="false">G23-F23</f>
        <v>0</v>
      </c>
      <c r="I23" s="15" t="n">
        <f aca="false">C23/$C$4</f>
        <v>0.00699300699300699</v>
      </c>
      <c r="J23" s="15" t="n">
        <f aca="false">I23*G23</f>
        <v>0.00699300699300699</v>
      </c>
      <c r="K23" s="10" t="n">
        <v>15</v>
      </c>
    </row>
    <row r="24" customFormat="false" ht="15" hidden="false" customHeight="true" outlineLevel="0" collapsed="false">
      <c r="A24" s="10" t="n">
        <v>39</v>
      </c>
      <c r="B24" s="11" t="s">
        <v>33</v>
      </c>
      <c r="C24" s="10" t="n">
        <f aca="false">E24-D24+1</f>
        <v>2</v>
      </c>
      <c r="D24" s="12" t="n">
        <v>46272</v>
      </c>
      <c r="E24" s="12" t="n">
        <v>46273</v>
      </c>
      <c r="F24" s="14" t="n">
        <v>1</v>
      </c>
      <c r="G24" s="14" t="n">
        <v>0</v>
      </c>
      <c r="H24" s="14" t="n">
        <f aca="false">G24-F24</f>
        <v>-1</v>
      </c>
      <c r="I24" s="15" t="n">
        <f aca="false">C24/$C$4</f>
        <v>0.013986013986014</v>
      </c>
      <c r="J24" s="15" t="n">
        <f aca="false">I24*G24</f>
        <v>0</v>
      </c>
      <c r="K24" s="10" t="n">
        <v>15</v>
      </c>
    </row>
    <row r="25" customFormat="false" ht="15" hidden="false" customHeight="true" outlineLevel="0" collapsed="false">
      <c r="A25" s="5" t="n">
        <v>21</v>
      </c>
      <c r="B25" s="6" t="s">
        <v>34</v>
      </c>
      <c r="C25" s="5" t="n">
        <f aca="false">SUM(C26,C27,C30,C36,C37,C38,C39,C40)</f>
        <v>49</v>
      </c>
      <c r="D25" s="7" t="n">
        <v>46272</v>
      </c>
      <c r="E25" s="7" t="n">
        <v>46309</v>
      </c>
      <c r="F25" s="8" t="n">
        <f aca="false">(C26*F26+C27*F27+C30*F30+C36*F36+C37*F37+C38*F38+C39*F39+C40*F40)/C25</f>
        <v>0.836734693877551</v>
      </c>
      <c r="G25" s="8" t="n">
        <f aca="false">(C26*G26+C27*G27+C30*G30+C36*G36+C37*G37+C38*G38+C39*G39+C40*G40)/C25</f>
        <v>0.779591836734694</v>
      </c>
      <c r="H25" s="8" t="n">
        <f aca="false">G25-F25</f>
        <v>-0.0571428571428572</v>
      </c>
      <c r="I25" s="9" t="n">
        <f aca="false">C25/$C$4</f>
        <v>0.342657342657343</v>
      </c>
      <c r="J25" s="9" t="n">
        <f aca="false">I25*G25</f>
        <v>0.267132867132867</v>
      </c>
      <c r="K25" s="5" t="n">
        <v>1</v>
      </c>
    </row>
    <row r="26" customFormat="false" ht="15" hidden="false" customHeight="true" outlineLevel="0" collapsed="false">
      <c r="A26" s="10" t="n">
        <v>22</v>
      </c>
      <c r="B26" s="11" t="s">
        <v>35</v>
      </c>
      <c r="C26" s="10" t="n">
        <f aca="false">E26-D26+1</f>
        <v>5</v>
      </c>
      <c r="D26" s="12" t="n">
        <v>46272</v>
      </c>
      <c r="E26" s="12" t="n">
        <v>46276</v>
      </c>
      <c r="F26" s="14" t="n">
        <v>1</v>
      </c>
      <c r="G26" s="14" t="n">
        <v>1</v>
      </c>
      <c r="H26" s="14" t="n">
        <f aca="false">G26-F26</f>
        <v>0</v>
      </c>
      <c r="I26" s="15" t="n">
        <f aca="false">C26/$C$4</f>
        <v>0.034965034965035</v>
      </c>
      <c r="J26" s="15" t="n">
        <f aca="false">I26*G26</f>
        <v>0.034965034965035</v>
      </c>
      <c r="K26" s="10" t="n">
        <v>21</v>
      </c>
    </row>
    <row r="27" customFormat="false" ht="15" hidden="false" customHeight="true" outlineLevel="0" collapsed="false">
      <c r="A27" s="5" t="n">
        <v>23</v>
      </c>
      <c r="B27" s="6" t="s">
        <v>36</v>
      </c>
      <c r="C27" s="5" t="n">
        <f aca="false">SUM(C28,C29)</f>
        <v>10</v>
      </c>
      <c r="D27" s="7" t="n">
        <v>46279</v>
      </c>
      <c r="E27" s="7" t="n">
        <v>46290</v>
      </c>
      <c r="F27" s="8" t="n">
        <f aca="false">(C28*F28+C29*F29)/C27</f>
        <v>1</v>
      </c>
      <c r="G27" s="8" t="n">
        <f aca="false">(C28*G28+C29*G29)/C27</f>
        <v>1</v>
      </c>
      <c r="H27" s="8" t="n">
        <f aca="false">G27-F27</f>
        <v>0</v>
      </c>
      <c r="I27" s="9" t="n">
        <f aca="false">C27/$C$4</f>
        <v>0.0699300699300699</v>
      </c>
      <c r="J27" s="9" t="n">
        <f aca="false">I27*G27</f>
        <v>0.0699300699300699</v>
      </c>
      <c r="K27" s="5" t="n">
        <v>21</v>
      </c>
    </row>
    <row r="28" customFormat="false" ht="15" hidden="false" customHeight="true" outlineLevel="0" collapsed="false">
      <c r="A28" s="10" t="n">
        <v>24</v>
      </c>
      <c r="B28" s="11" t="s">
        <v>37</v>
      </c>
      <c r="C28" s="10" t="n">
        <f aca="false">E28-D28+1</f>
        <v>5</v>
      </c>
      <c r="D28" s="12" t="n">
        <v>46279</v>
      </c>
      <c r="E28" s="12" t="n">
        <v>46283</v>
      </c>
      <c r="F28" s="14" t="n">
        <v>1</v>
      </c>
      <c r="G28" s="14" t="n">
        <v>1</v>
      </c>
      <c r="H28" s="14" t="n">
        <f aca="false">G28-F28</f>
        <v>0</v>
      </c>
      <c r="I28" s="15" t="n">
        <f aca="false">C28/$C$4</f>
        <v>0.034965034965035</v>
      </c>
      <c r="J28" s="15" t="n">
        <f aca="false">I28*G28</f>
        <v>0.034965034965035</v>
      </c>
      <c r="K28" s="10" t="n">
        <v>23</v>
      </c>
    </row>
    <row r="29" customFormat="false" ht="15" hidden="false" customHeight="true" outlineLevel="0" collapsed="false">
      <c r="A29" s="10" t="n">
        <v>25</v>
      </c>
      <c r="B29" s="11" t="s">
        <v>38</v>
      </c>
      <c r="C29" s="10" t="n">
        <f aca="false">E29-D29+1</f>
        <v>5</v>
      </c>
      <c r="D29" s="12" t="n">
        <v>46286</v>
      </c>
      <c r="E29" s="12" t="n">
        <v>46290</v>
      </c>
      <c r="F29" s="14" t="n">
        <v>1</v>
      </c>
      <c r="G29" s="14" t="n">
        <v>1</v>
      </c>
      <c r="H29" s="14" t="n">
        <f aca="false">G29-F29</f>
        <v>0</v>
      </c>
      <c r="I29" s="15" t="n">
        <f aca="false">C29/$C$4</f>
        <v>0.034965034965035</v>
      </c>
      <c r="J29" s="15" t="n">
        <f aca="false">I29*G29</f>
        <v>0.034965034965035</v>
      </c>
      <c r="K29" s="10" t="n">
        <v>23</v>
      </c>
    </row>
    <row r="30" customFormat="false" ht="15" hidden="false" customHeight="true" outlineLevel="0" collapsed="false">
      <c r="A30" s="5" t="n">
        <v>26</v>
      </c>
      <c r="B30" s="6" t="s">
        <v>39</v>
      </c>
      <c r="C30" s="5" t="n">
        <f aca="false">SUM(C31,C32,C33,C34,C35)</f>
        <v>14</v>
      </c>
      <c r="D30" s="7" t="n">
        <v>46286</v>
      </c>
      <c r="E30" s="7" t="n">
        <v>46297</v>
      </c>
      <c r="F30" s="8" t="n">
        <f aca="false">(C31*F31+C32*F32+C33*F33+C34*F34+C35*F35)/C30</f>
        <v>1</v>
      </c>
      <c r="G30" s="8" t="n">
        <f aca="false">(C31*G31+C32*G32+C33*G33+C34*G34+C35*G35)/C30</f>
        <v>0.928571428571429</v>
      </c>
      <c r="H30" s="8" t="n">
        <f aca="false">G30-F30</f>
        <v>-0.0714285714285714</v>
      </c>
      <c r="I30" s="9" t="n">
        <f aca="false">C30/$C$4</f>
        <v>0.0979020979020979</v>
      </c>
      <c r="J30" s="9" t="n">
        <f aca="false">I30*G30</f>
        <v>0.0909090909090909</v>
      </c>
      <c r="K30" s="5" t="n">
        <v>21</v>
      </c>
    </row>
    <row r="31" customFormat="false" ht="15" hidden="false" customHeight="true" outlineLevel="0" collapsed="false">
      <c r="A31" s="10" t="n">
        <v>27</v>
      </c>
      <c r="B31" s="11" t="s">
        <v>40</v>
      </c>
      <c r="C31" s="10" t="n">
        <f aca="false">E31-D31+1</f>
        <v>3</v>
      </c>
      <c r="D31" s="12" t="n">
        <v>46286</v>
      </c>
      <c r="E31" s="12" t="n">
        <v>46288</v>
      </c>
      <c r="F31" s="14" t="n">
        <v>1</v>
      </c>
      <c r="G31" s="14" t="n">
        <v>1</v>
      </c>
      <c r="H31" s="14" t="n">
        <f aca="false">G31-F31</f>
        <v>0</v>
      </c>
      <c r="I31" s="15" t="n">
        <f aca="false">C31/$C$4</f>
        <v>0.020979020979021</v>
      </c>
      <c r="J31" s="15" t="n">
        <f aca="false">I31*G31</f>
        <v>0.020979020979021</v>
      </c>
      <c r="K31" s="10" t="n">
        <v>26</v>
      </c>
    </row>
    <row r="32" customFormat="false" ht="15" hidden="false" customHeight="true" outlineLevel="0" collapsed="false">
      <c r="A32" s="10" t="n">
        <v>28</v>
      </c>
      <c r="B32" s="11" t="s">
        <v>41</v>
      </c>
      <c r="C32" s="10" t="n">
        <f aca="false">E32-D32+1</f>
        <v>5</v>
      </c>
      <c r="D32" s="12" t="n">
        <v>46289</v>
      </c>
      <c r="E32" s="12" t="n">
        <v>46293</v>
      </c>
      <c r="F32" s="14" t="n">
        <v>1</v>
      </c>
      <c r="G32" s="14" t="n">
        <v>1</v>
      </c>
      <c r="H32" s="14" t="n">
        <f aca="false">G32-F32</f>
        <v>0</v>
      </c>
      <c r="I32" s="15" t="n">
        <f aca="false">C32/$C$4</f>
        <v>0.034965034965035</v>
      </c>
      <c r="J32" s="15" t="n">
        <f aca="false">I32*G32</f>
        <v>0.034965034965035</v>
      </c>
      <c r="K32" s="10" t="n">
        <v>26</v>
      </c>
    </row>
    <row r="33" customFormat="false" ht="15" hidden="false" customHeight="true" outlineLevel="0" collapsed="false">
      <c r="A33" s="10" t="n">
        <v>29</v>
      </c>
      <c r="B33" s="11" t="s">
        <v>42</v>
      </c>
      <c r="C33" s="10" t="n">
        <f aca="false">E33-D33+1</f>
        <v>2</v>
      </c>
      <c r="D33" s="12" t="n">
        <v>46294</v>
      </c>
      <c r="E33" s="12" t="n">
        <v>46295</v>
      </c>
      <c r="F33" s="14" t="n">
        <v>1</v>
      </c>
      <c r="G33" s="14" t="n">
        <v>1</v>
      </c>
      <c r="H33" s="14" t="n">
        <f aca="false">G33-F33</f>
        <v>0</v>
      </c>
      <c r="I33" s="15" t="n">
        <f aca="false">C33/$C$4</f>
        <v>0.013986013986014</v>
      </c>
      <c r="J33" s="15" t="n">
        <f aca="false">I33*G33</f>
        <v>0.013986013986014</v>
      </c>
      <c r="K33" s="10" t="n">
        <v>26</v>
      </c>
    </row>
    <row r="34" customFormat="false" ht="15" hidden="false" customHeight="true" outlineLevel="0" collapsed="false">
      <c r="A34" s="10" t="n">
        <v>30</v>
      </c>
      <c r="B34" s="11" t="s">
        <v>43</v>
      </c>
      <c r="C34" s="10" t="n">
        <f aca="false">E34-D34+1</f>
        <v>2</v>
      </c>
      <c r="D34" s="12" t="n">
        <v>46296</v>
      </c>
      <c r="E34" s="12" t="n">
        <v>46297</v>
      </c>
      <c r="F34" s="14" t="n">
        <v>1</v>
      </c>
      <c r="G34" s="14" t="n">
        <v>0.5</v>
      </c>
      <c r="H34" s="14" t="n">
        <f aca="false">G34-F34</f>
        <v>-0.5</v>
      </c>
      <c r="I34" s="15" t="n">
        <f aca="false">C34/$C$4</f>
        <v>0.013986013986014</v>
      </c>
      <c r="J34" s="15" t="n">
        <f aca="false">I34*G34</f>
        <v>0.00699300699300699</v>
      </c>
      <c r="K34" s="10" t="n">
        <v>26</v>
      </c>
    </row>
    <row r="35" customFormat="false" ht="15" hidden="false" customHeight="true" outlineLevel="0" collapsed="false">
      <c r="A35" s="10" t="n">
        <v>40</v>
      </c>
      <c r="B35" s="11" t="s">
        <v>44</v>
      </c>
      <c r="C35" s="10" t="n">
        <f aca="false">E35-D35+1</f>
        <v>2</v>
      </c>
      <c r="D35" s="12" t="n">
        <v>46296</v>
      </c>
      <c r="E35" s="12" t="n">
        <v>46297</v>
      </c>
      <c r="F35" s="14" t="n">
        <v>1</v>
      </c>
      <c r="G35" s="14" t="n">
        <v>1</v>
      </c>
      <c r="H35" s="14" t="n">
        <f aca="false">G35-F35</f>
        <v>0</v>
      </c>
      <c r="I35" s="15" t="n">
        <f aca="false">C35/$C$4</f>
        <v>0.013986013986014</v>
      </c>
      <c r="J35" s="15" t="n">
        <f aca="false">I35*G35</f>
        <v>0.013986013986014</v>
      </c>
      <c r="K35" s="10" t="n">
        <v>26</v>
      </c>
    </row>
    <row r="36" customFormat="false" ht="15" hidden="false" customHeight="true" outlineLevel="0" collapsed="false">
      <c r="A36" s="10" t="n">
        <v>31</v>
      </c>
      <c r="B36" s="11" t="s">
        <v>45</v>
      </c>
      <c r="C36" s="10" t="n">
        <f aca="false">E36-D36+1</f>
        <v>12</v>
      </c>
      <c r="D36" s="12" t="n">
        <v>46286</v>
      </c>
      <c r="E36" s="12" t="n">
        <v>46297</v>
      </c>
      <c r="F36" s="14" t="n">
        <v>1</v>
      </c>
      <c r="G36" s="14" t="n">
        <v>0.85</v>
      </c>
      <c r="H36" s="14" t="n">
        <f aca="false">G36-F36</f>
        <v>-0.15</v>
      </c>
      <c r="I36" s="15" t="n">
        <f aca="false">C36/$C$4</f>
        <v>0.0839160839160839</v>
      </c>
      <c r="J36" s="15" t="n">
        <f aca="false">I36*G36</f>
        <v>0.0713286713286713</v>
      </c>
      <c r="K36" s="10" t="n">
        <v>21</v>
      </c>
    </row>
    <row r="37" customFormat="false" ht="15" hidden="false" customHeight="true" outlineLevel="0" collapsed="false">
      <c r="A37" s="10" t="n">
        <v>32</v>
      </c>
      <c r="B37" s="11" t="s">
        <v>46</v>
      </c>
      <c r="C37" s="10" t="n">
        <f aca="false">E37-D37+1</f>
        <v>3</v>
      </c>
      <c r="D37" s="12" t="n">
        <v>46300</v>
      </c>
      <c r="E37" s="12" t="n">
        <v>46302</v>
      </c>
      <c r="F37" s="14" t="n">
        <v>0</v>
      </c>
      <c r="G37" s="14" t="n">
        <v>0</v>
      </c>
      <c r="H37" s="14" t="n">
        <f aca="false">G37-F37</f>
        <v>0</v>
      </c>
      <c r="I37" s="15" t="n">
        <f aca="false">C37/$C$4</f>
        <v>0.020979020979021</v>
      </c>
      <c r="J37" s="15" t="n">
        <f aca="false">I37*G37</f>
        <v>0</v>
      </c>
      <c r="K37" s="10" t="n">
        <v>21</v>
      </c>
    </row>
    <row r="38" customFormat="false" ht="15" hidden="false" customHeight="true" outlineLevel="0" collapsed="false">
      <c r="A38" s="10" t="n">
        <v>33</v>
      </c>
      <c r="B38" s="11" t="s">
        <v>47</v>
      </c>
      <c r="C38" s="10" t="n">
        <f aca="false">E38-D38+1</f>
        <v>2</v>
      </c>
      <c r="D38" s="12" t="n">
        <v>46303</v>
      </c>
      <c r="E38" s="12" t="n">
        <v>46304</v>
      </c>
      <c r="F38" s="14" t="n">
        <v>0</v>
      </c>
      <c r="G38" s="14" t="n">
        <v>0</v>
      </c>
      <c r="H38" s="14" t="n">
        <f aca="false">G38-F38</f>
        <v>0</v>
      </c>
      <c r="I38" s="15" t="n">
        <f aca="false">C38/$C$4</f>
        <v>0.013986013986014</v>
      </c>
      <c r="J38" s="15" t="n">
        <f aca="false">I38*G38</f>
        <v>0</v>
      </c>
      <c r="K38" s="10" t="n">
        <v>21</v>
      </c>
    </row>
    <row r="39" customFormat="false" ht="15" hidden="false" customHeight="true" outlineLevel="0" collapsed="false">
      <c r="A39" s="10" t="n">
        <v>34</v>
      </c>
      <c r="B39" s="11" t="s">
        <v>48</v>
      </c>
      <c r="C39" s="10" t="n">
        <f aca="false">E39-D39+1</f>
        <v>2</v>
      </c>
      <c r="D39" s="12" t="n">
        <v>46307</v>
      </c>
      <c r="E39" s="12" t="n">
        <v>46308</v>
      </c>
      <c r="F39" s="14" t="n">
        <v>0</v>
      </c>
      <c r="G39" s="14" t="n">
        <v>0</v>
      </c>
      <c r="H39" s="14" t="n">
        <f aca="false">G39-F39</f>
        <v>0</v>
      </c>
      <c r="I39" s="15" t="n">
        <f aca="false">C39/$C$4</f>
        <v>0.013986013986014</v>
      </c>
      <c r="J39" s="15" t="n">
        <f aca="false">I39*G39</f>
        <v>0</v>
      </c>
      <c r="K39" s="10" t="n">
        <v>21</v>
      </c>
    </row>
    <row r="40" customFormat="false" ht="15" hidden="false" customHeight="true" outlineLevel="0" collapsed="false">
      <c r="A40" s="10" t="n">
        <v>35</v>
      </c>
      <c r="B40" s="11" t="s">
        <v>49</v>
      </c>
      <c r="C40" s="10" t="n">
        <f aca="false">E40-D40+1</f>
        <v>1</v>
      </c>
      <c r="D40" s="12" t="n">
        <v>46309</v>
      </c>
      <c r="E40" s="12" t="n">
        <v>46309</v>
      </c>
      <c r="F40" s="14" t="n">
        <v>0</v>
      </c>
      <c r="G40" s="14" t="n">
        <v>0</v>
      </c>
      <c r="H40" s="14" t="n">
        <f aca="false">G40-F40</f>
        <v>0</v>
      </c>
      <c r="I40" s="15" t="n">
        <f aca="false">C40/$C$4</f>
        <v>0.00699300699300699</v>
      </c>
      <c r="J40" s="15" t="n">
        <f aca="false">I40*G40</f>
        <v>0</v>
      </c>
      <c r="K40" s="10" t="n">
        <v>21</v>
      </c>
    </row>
    <row r="41" customFormat="false" ht="15" hidden="false" customHeight="true" outlineLevel="0" collapsed="false">
      <c r="A41" s="5" t="n">
        <v>36</v>
      </c>
      <c r="B41" s="6" t="s">
        <v>50</v>
      </c>
      <c r="C41" s="5" t="n">
        <f aca="false">SUM(C42,C43)</f>
        <v>3</v>
      </c>
      <c r="D41" s="7" t="n">
        <v>46310</v>
      </c>
      <c r="E41" s="7" t="n">
        <v>46312</v>
      </c>
      <c r="F41" s="8" t="n">
        <f aca="false">(C42*F42+C43*F43)/C41</f>
        <v>0</v>
      </c>
      <c r="G41" s="8" t="n">
        <f aca="false">(C42*G42+C43*G43)/C41</f>
        <v>0</v>
      </c>
      <c r="H41" s="8" t="n">
        <f aca="false">G41-F41</f>
        <v>0</v>
      </c>
      <c r="I41" s="9" t="n">
        <f aca="false">C41/$C$4</f>
        <v>0.020979020979021</v>
      </c>
      <c r="J41" s="9" t="n">
        <f aca="false">I41*G41</f>
        <v>0</v>
      </c>
      <c r="K41" s="5" t="n">
        <v>1</v>
      </c>
    </row>
    <row r="42" customFormat="false" ht="15" hidden="false" customHeight="true" outlineLevel="0" collapsed="false">
      <c r="A42" s="10" t="n">
        <v>37</v>
      </c>
      <c r="B42" s="11" t="s">
        <v>51</v>
      </c>
      <c r="C42" s="10" t="n">
        <f aca="false">E42-D42+1</f>
        <v>2</v>
      </c>
      <c r="D42" s="12" t="n">
        <v>46310</v>
      </c>
      <c r="E42" s="12" t="n">
        <v>46311</v>
      </c>
      <c r="F42" s="14" t="n">
        <v>0</v>
      </c>
      <c r="G42" s="14" t="n">
        <v>0</v>
      </c>
      <c r="H42" s="14" t="n">
        <f aca="false">G42-F42</f>
        <v>0</v>
      </c>
      <c r="I42" s="15" t="n">
        <f aca="false">C42/$C$4</f>
        <v>0.013986013986014</v>
      </c>
      <c r="J42" s="15" t="n">
        <f aca="false">I42*G42</f>
        <v>0</v>
      </c>
      <c r="K42" s="10" t="n">
        <v>36</v>
      </c>
    </row>
    <row r="43" customFormat="false" ht="15" hidden="false" customHeight="true" outlineLevel="0" collapsed="false">
      <c r="A43" s="10" t="n">
        <v>38</v>
      </c>
      <c r="B43" s="11" t="s">
        <v>52</v>
      </c>
      <c r="C43" s="10" t="n">
        <f aca="false">E43-D43+1</f>
        <v>1</v>
      </c>
      <c r="D43" s="12" t="n">
        <v>46312</v>
      </c>
      <c r="E43" s="12" t="n">
        <v>46312</v>
      </c>
      <c r="F43" s="14" t="n">
        <v>0</v>
      </c>
      <c r="G43" s="14" t="n">
        <v>0</v>
      </c>
      <c r="H43" s="14" t="n">
        <f aca="false">G43-F43</f>
        <v>0</v>
      </c>
      <c r="I43" s="15" t="n">
        <f aca="false">C43/$C$4</f>
        <v>0.00699300699300699</v>
      </c>
      <c r="J43" s="15" t="n">
        <f aca="false">I43*G43</f>
        <v>0</v>
      </c>
      <c r="K43" s="10" t="n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2026-09-05T03:41:10Z</dcterms:created>
  <dc:creator>openpyxl</dc:creator>
  <dc:description/>
  <dc:language>en-US</dc:language>
  <cp:lastModifiedBy/>
  <dcterms:modified xsi:type="dcterms:W3CDTF">2026-10-03T03:58:56Z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